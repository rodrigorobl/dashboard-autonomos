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AC7BFDA-3D92-4D8C-8000-64144091BA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ssoa Jurídica" sheetId="3" r:id="rId1"/>
    <sheet name="Pessoa Físic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7" i="4" l="1"/>
  <c r="V47" i="4"/>
  <c r="T47" i="4"/>
  <c r="R47" i="4"/>
  <c r="P47" i="4"/>
  <c r="N47" i="4"/>
  <c r="L47" i="4"/>
  <c r="J47" i="4"/>
  <c r="H47" i="4"/>
  <c r="F47" i="4"/>
  <c r="D47" i="4"/>
  <c r="B47" i="4"/>
  <c r="Z47" i="4" s="1"/>
  <c r="V45" i="4"/>
  <c r="R45" i="4"/>
  <c r="N45" i="4"/>
  <c r="F45" i="4"/>
  <c r="B45" i="4"/>
  <c r="Z41" i="4"/>
  <c r="X41" i="4"/>
  <c r="X45" i="4" s="1"/>
  <c r="V41" i="4"/>
  <c r="T41" i="4"/>
  <c r="T45" i="4" s="1"/>
  <c r="R41" i="4"/>
  <c r="P41" i="4"/>
  <c r="P45" i="4" s="1"/>
  <c r="N41" i="4"/>
  <c r="L41" i="4"/>
  <c r="L45" i="4" s="1"/>
  <c r="J41" i="4"/>
  <c r="J45" i="4" s="1"/>
  <c r="H41" i="4"/>
  <c r="H45" i="4" s="1"/>
  <c r="F41" i="4"/>
  <c r="D41" i="4"/>
  <c r="D45" i="4" s="1"/>
  <c r="B41" i="4"/>
  <c r="Z39" i="4"/>
  <c r="Z38" i="4"/>
  <c r="Z37" i="4"/>
  <c r="Z36" i="4"/>
  <c r="Z34" i="4"/>
  <c r="Z33" i="4"/>
  <c r="Z32" i="4"/>
  <c r="Z30" i="4"/>
  <c r="Z29" i="4"/>
  <c r="Z28" i="4"/>
  <c r="Z26" i="4"/>
  <c r="Z25" i="4"/>
  <c r="Z24" i="4"/>
  <c r="Z22" i="4"/>
  <c r="Z21" i="4"/>
  <c r="Z20" i="4"/>
  <c r="Z18" i="4"/>
  <c r="Z17" i="4"/>
  <c r="Z16" i="4"/>
  <c r="Z14" i="4"/>
  <c r="Z13" i="4"/>
  <c r="Z12" i="4"/>
  <c r="Z10" i="4"/>
  <c r="Z9" i="4"/>
  <c r="Z8" i="4"/>
  <c r="Z6" i="4"/>
  <c r="Z5" i="4"/>
  <c r="Z4" i="4"/>
  <c r="M24" i="3"/>
  <c r="L24" i="3"/>
  <c r="K24" i="3"/>
  <c r="J24" i="3"/>
  <c r="I24" i="3"/>
  <c r="H24" i="3"/>
  <c r="G24" i="3"/>
  <c r="F24" i="3"/>
  <c r="E24" i="3"/>
  <c r="D24" i="3"/>
  <c r="C24" i="3"/>
  <c r="B24" i="3"/>
  <c r="M9" i="3"/>
  <c r="M27" i="3" s="1"/>
  <c r="L9" i="3"/>
  <c r="L27" i="3" s="1"/>
  <c r="K9" i="3"/>
  <c r="K27" i="3" s="1"/>
  <c r="J9" i="3"/>
  <c r="J27" i="3" s="1"/>
  <c r="I9" i="3"/>
  <c r="I27" i="3" s="1"/>
  <c r="H9" i="3"/>
  <c r="H27" i="3" s="1"/>
  <c r="G9" i="3"/>
  <c r="G27" i="3" s="1"/>
  <c r="F9" i="3"/>
  <c r="F27" i="3" s="1"/>
  <c r="E9" i="3"/>
  <c r="E27" i="3" s="1"/>
  <c r="D9" i="3"/>
  <c r="D27" i="3" s="1"/>
  <c r="C9" i="3"/>
  <c r="C27" i="3" s="1"/>
  <c r="B9" i="3"/>
  <c r="B27" i="3" s="1"/>
</calcChain>
</file>

<file path=xl/sharedStrings.xml><?xml version="1.0" encoding="utf-8"?>
<sst xmlns="http://schemas.openxmlformats.org/spreadsheetml/2006/main" count="136" uniqueCount="70">
  <si>
    <t>Meses</t>
  </si>
  <si>
    <t>Receitas</t>
  </si>
  <si>
    <t>- Venda de Serviços</t>
  </si>
  <si>
    <t>- Venda de Produtos</t>
  </si>
  <si>
    <t>- Venda A</t>
  </si>
  <si>
    <t>- Venda B</t>
  </si>
  <si>
    <t>- Venda C</t>
  </si>
  <si>
    <t>Total de Receitas</t>
  </si>
  <si>
    <t>Despesas</t>
  </si>
  <si>
    <t>- Salário (pro-labore)</t>
  </si>
  <si>
    <t>- Contador</t>
  </si>
  <si>
    <t>- Guia do Simples Nacional - DAS</t>
  </si>
  <si>
    <t>- Guia do INSS (se houver)</t>
  </si>
  <si>
    <t>- Guia do IR (se houver)</t>
  </si>
  <si>
    <t>- Despesas de locomoção - KM rodado</t>
  </si>
  <si>
    <t>- Despesas de locomoção - estacionamento</t>
  </si>
  <si>
    <t>- Despesas de refeição</t>
  </si>
  <si>
    <t>- Compra de insumos para venda/fabricação</t>
  </si>
  <si>
    <t>- Despesas de internet</t>
  </si>
  <si>
    <t>- Despesas de telefone</t>
  </si>
  <si>
    <t>Total das Despesas</t>
  </si>
  <si>
    <t>Resultado Operacional (+ lucro / - prejuízo)</t>
  </si>
  <si>
    <r>
      <t xml:space="preserve">Alterar somente os campos </t>
    </r>
    <r>
      <rPr>
        <b/>
        <sz val="11"/>
        <color rgb="FF00B0F0"/>
        <rFont val="Calibri"/>
      </rPr>
      <t>em azul</t>
    </r>
  </si>
  <si>
    <t>Meio de Pagamento</t>
  </si>
  <si>
    <t>Total</t>
  </si>
  <si>
    <t>Despedas</t>
  </si>
  <si>
    <t>Alimentação</t>
  </si>
  <si>
    <t>Supermercado</t>
  </si>
  <si>
    <t>Cartão de Crédito</t>
  </si>
  <si>
    <t>Feira / Sacolão</t>
  </si>
  <si>
    <t>Cartão de Débito</t>
  </si>
  <si>
    <t>Padaria</t>
  </si>
  <si>
    <t>Dinheiro</t>
  </si>
  <si>
    <t>Moradia</t>
  </si>
  <si>
    <t>Prestação / Aluguel de imóvel</t>
  </si>
  <si>
    <t xml:space="preserve">Condomínio </t>
  </si>
  <si>
    <t>Consumo de água</t>
  </si>
  <si>
    <t>Educação</t>
  </si>
  <si>
    <t>Matricula Escolar / Mensalidade</t>
  </si>
  <si>
    <t>Material Escolar</t>
  </si>
  <si>
    <t>Transporte Escolar</t>
  </si>
  <si>
    <t>Animal de Estimação</t>
  </si>
  <si>
    <t>Ração</t>
  </si>
  <si>
    <t>Banho / Tosa</t>
  </si>
  <si>
    <t>Veterinário</t>
  </si>
  <si>
    <t>Saúde</t>
  </si>
  <si>
    <t>Plano de Saúde</t>
  </si>
  <si>
    <t>Medicamentos</t>
  </si>
  <si>
    <t>Dentista</t>
  </si>
  <si>
    <t>Transporte</t>
  </si>
  <si>
    <t>Ônibus / Metrô</t>
  </si>
  <si>
    <t>Taxi</t>
  </si>
  <si>
    <t>Combustível</t>
  </si>
  <si>
    <t>Pessoal</t>
  </si>
  <si>
    <t>Vestuário / Calçados / Acessórios</t>
  </si>
  <si>
    <t>Cabeleireiro / Manicure / Higiene Pessoal</t>
  </si>
  <si>
    <t>Presentes</t>
  </si>
  <si>
    <t>Lazer</t>
  </si>
  <si>
    <t>Cinema / Teatro / Shows</t>
  </si>
  <si>
    <t>Livros / Revistas</t>
  </si>
  <si>
    <t>Viagens</t>
  </si>
  <si>
    <t>Serviços Financeiros</t>
  </si>
  <si>
    <t>Seguros</t>
  </si>
  <si>
    <t>Investimentos 1</t>
  </si>
  <si>
    <t>Transferência</t>
  </si>
  <si>
    <t>Imposto de Renda</t>
  </si>
  <si>
    <t>Renda Mensal</t>
  </si>
  <si>
    <t>Resultado Operacional (renda - despesas)</t>
  </si>
  <si>
    <t>Investimentos Mensais</t>
  </si>
  <si>
    <r>
      <t xml:space="preserve">Alterar somente os campos </t>
    </r>
    <r>
      <rPr>
        <b/>
        <sz val="11"/>
        <color rgb="FF00B0F0"/>
        <rFont val="Calibri"/>
      </rPr>
      <t>em azul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</si>
</sst>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"/>
    <numFmt numFmtId="165" formatCode="[$R$]#,##0.00"/>
  </numFmts>
  <fonts count="14">
    <font>
      <sz val="11"/>
      <color rgb="FF000000"/>
      <name val="Calibri"/>
    </font>
    <font>
      <b/>
      <sz val="12"/>
      <color rgb="FFFFFFFF"/>
      <name val="Calibri"/>
    </font>
    <font>
      <b/>
      <sz val="12"/>
      <color rgb="FF000000"/>
      <name val="Calibri"/>
    </font>
    <font>
      <sz val="11"/>
      <name val="Calibri"/>
    </font>
    <font>
      <b/>
      <sz val="11"/>
      <color rgb="FF000000"/>
      <name val="Calibri"/>
    </font>
    <font>
      <sz val="11"/>
      <color rgb="FF00B0F0"/>
      <name val="Calibri"/>
    </font>
    <font>
      <b/>
      <sz val="11"/>
      <color rgb="FF44546A"/>
      <name val="Calibri"/>
    </font>
    <font>
      <b/>
      <sz val="13"/>
      <color rgb="FFFFFFFF"/>
      <name val="Calibri"/>
    </font>
    <font>
      <b/>
      <sz val="9"/>
      <color rgb="FFFFFFFF"/>
      <name val="Calibri"/>
    </font>
    <font>
      <b/>
      <sz val="12"/>
      <color rgb="FFFFFFFF"/>
      <name val="Calibri"/>
    </font>
    <font>
      <sz val="8"/>
      <color rgb="FF00B0F0"/>
      <name val="Calibri"/>
    </font>
    <font>
      <sz val="11"/>
      <color rgb="FFFFFFFF"/>
      <name val="Calibri"/>
    </font>
    <font>
      <b/>
      <sz val="11"/>
      <color rgb="FFFFFFFF"/>
      <name val="Calibri"/>
    </font>
    <font>
      <b/>
      <sz val="11"/>
      <color rgb="FF00B0F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20124D"/>
        <bgColor rgb="FF20124D"/>
      </patternFill>
    </fill>
    <fill>
      <patternFill patternType="solid">
        <fgColor rgb="FF8E7CC3"/>
        <bgColor rgb="FF8E7CC3"/>
      </patternFill>
    </fill>
    <fill>
      <patternFill patternType="solid">
        <fgColor rgb="FF4472C4"/>
        <bgColor rgb="FF4472C4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38761D"/>
        <bgColor rgb="FF38761D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rgb="FF999999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000000"/>
      </bottom>
      <diagonal/>
    </border>
    <border>
      <left/>
      <right/>
      <top/>
      <bottom style="medium">
        <color rgb="FF8EAADB"/>
      </bottom>
      <diagonal/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B7B7B7"/>
      </bottom>
      <diagonal/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000000"/>
      </bottom>
      <diagonal/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  <diagonal/>
    </border>
    <border>
      <left/>
      <right/>
      <top style="thin">
        <color rgb="FF4472C4"/>
      </top>
      <bottom style="double">
        <color rgb="FF4472C4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3" borderId="1" xfId="0" applyFont="1" applyFill="1" applyBorder="1" applyAlignment="1">
      <alignment vertical="center"/>
    </xf>
    <xf numFmtId="17" fontId="1" fillId="4" borderId="2" xfId="0" applyNumberFormat="1" applyFont="1" applyFill="1" applyBorder="1" applyAlignment="1">
      <alignment horizontal="center" vertical="center"/>
    </xf>
    <xf numFmtId="17" fontId="1" fillId="5" borderId="2" xfId="0" applyNumberFormat="1" applyFont="1" applyFill="1" applyBorder="1" applyAlignment="1">
      <alignment horizontal="center" vertical="center"/>
    </xf>
    <xf numFmtId="17" fontId="1" fillId="5" borderId="3" xfId="0" applyNumberFormat="1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4" fillId="0" borderId="4" xfId="0" quotePrefix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0" fillId="0" borderId="4" xfId="0" quotePrefix="1" applyBorder="1"/>
    <xf numFmtId="0" fontId="1" fillId="2" borderId="7" xfId="0" applyFont="1" applyFill="1" applyBorder="1"/>
    <xf numFmtId="164" fontId="1" fillId="2" borderId="8" xfId="0" applyNumberFormat="1" applyFont="1" applyFill="1" applyBorder="1"/>
    <xf numFmtId="164" fontId="1" fillId="2" borderId="9" xfId="0" applyNumberFormat="1" applyFont="1" applyFill="1" applyBorder="1"/>
    <xf numFmtId="0" fontId="1" fillId="3" borderId="10" xfId="0" applyFont="1" applyFill="1" applyBorder="1"/>
    <xf numFmtId="164" fontId="1" fillId="3" borderId="10" xfId="0" applyNumberFormat="1" applyFont="1" applyFill="1" applyBorder="1"/>
    <xf numFmtId="0" fontId="6" fillId="0" borderId="0" xfId="0" applyFont="1"/>
    <xf numFmtId="0" fontId="2" fillId="0" borderId="11" xfId="0" applyFont="1" applyBorder="1"/>
    <xf numFmtId="164" fontId="0" fillId="0" borderId="12" xfId="0" applyNumberFormat="1" applyBorder="1"/>
    <xf numFmtId="164" fontId="0" fillId="0" borderId="13" xfId="0" applyNumberFormat="1" applyBorder="1"/>
    <xf numFmtId="0" fontId="0" fillId="0" borderId="14" xfId="0" applyBorder="1"/>
    <xf numFmtId="164" fontId="5" fillId="0" borderId="15" xfId="0" applyNumberFormat="1" applyFont="1" applyBorder="1"/>
    <xf numFmtId="0" fontId="0" fillId="0" borderId="16" xfId="0" quotePrefix="1" applyBorder="1"/>
    <xf numFmtId="164" fontId="5" fillId="0" borderId="17" xfId="0" applyNumberFormat="1" applyFont="1" applyBorder="1"/>
    <xf numFmtId="164" fontId="5" fillId="0" borderId="18" xfId="0" applyNumberFormat="1" applyFont="1" applyBorder="1"/>
    <xf numFmtId="0" fontId="4" fillId="0" borderId="19" xfId="0" applyFont="1" applyBorder="1"/>
    <xf numFmtId="164" fontId="6" fillId="0" borderId="20" xfId="0" applyNumberFormat="1" applyFont="1" applyBorder="1"/>
    <xf numFmtId="164" fontId="6" fillId="0" borderId="21" xfId="0" applyNumberFormat="1" applyFont="1" applyBorder="1"/>
    <xf numFmtId="164" fontId="0" fillId="0" borderId="0" xfId="0" applyNumberFormat="1"/>
    <xf numFmtId="0" fontId="7" fillId="6" borderId="22" xfId="0" applyFont="1" applyFill="1" applyBorder="1"/>
    <xf numFmtId="164" fontId="7" fillId="6" borderId="22" xfId="0" applyNumberFormat="1" applyFont="1" applyFill="1" applyBorder="1"/>
    <xf numFmtId="0" fontId="1" fillId="3" borderId="5" xfId="0" applyFont="1" applyFill="1" applyBorder="1" applyAlignment="1">
      <alignment vertical="center"/>
    </xf>
    <xf numFmtId="17" fontId="1" fillId="4" borderId="5" xfId="0" applyNumberFormat="1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17" fontId="1" fillId="5" borderId="5" xfId="0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4" fillId="8" borderId="5" xfId="0" applyFont="1" applyFill="1" applyBorder="1"/>
    <xf numFmtId="0" fontId="0" fillId="0" borderId="5" xfId="0" applyBorder="1"/>
    <xf numFmtId="165" fontId="5" fillId="0" borderId="5" xfId="0" applyNumberFormat="1" applyFont="1" applyBorder="1"/>
    <xf numFmtId="165" fontId="10" fillId="2" borderId="5" xfId="0" applyNumberFormat="1" applyFont="1" applyFill="1" applyBorder="1"/>
    <xf numFmtId="165" fontId="3" fillId="0" borderId="5" xfId="0" applyNumberFormat="1" applyFont="1" applyBorder="1"/>
    <xf numFmtId="165" fontId="0" fillId="0" borderId="5" xfId="0" applyNumberFormat="1" applyBorder="1"/>
    <xf numFmtId="0" fontId="0" fillId="2" borderId="5" xfId="0" applyFill="1" applyBorder="1"/>
    <xf numFmtId="165" fontId="4" fillId="2" borderId="5" xfId="0" applyNumberFormat="1" applyFont="1" applyFill="1" applyBorder="1"/>
    <xf numFmtId="165" fontId="1" fillId="3" borderId="5" xfId="0" applyNumberFormat="1" applyFont="1" applyFill="1" applyBorder="1"/>
    <xf numFmtId="165" fontId="0" fillId="0" borderId="0" xfId="0" applyNumberFormat="1"/>
    <xf numFmtId="165" fontId="3" fillId="0" borderId="0" xfId="0" applyNumberFormat="1" applyFont="1"/>
    <xf numFmtId="0" fontId="1" fillId="3" borderId="0" xfId="0" applyFont="1" applyFill="1"/>
    <xf numFmtId="165" fontId="1" fillId="3" borderId="0" xfId="0" applyNumberFormat="1" applyFont="1" applyFill="1"/>
    <xf numFmtId="165" fontId="1" fillId="2" borderId="0" xfId="0" applyNumberFormat="1" applyFont="1" applyFill="1"/>
    <xf numFmtId="165" fontId="0" fillId="2" borderId="0" xfId="0" applyNumberFormat="1" applyFill="1"/>
    <xf numFmtId="165" fontId="7" fillId="6" borderId="22" xfId="0" applyNumberFormat="1" applyFont="1" applyFill="1" applyBorder="1"/>
    <xf numFmtId="165" fontId="7" fillId="2" borderId="22" xfId="0" applyNumberFormat="1" applyFont="1" applyFill="1" applyBorder="1"/>
    <xf numFmtId="0" fontId="9" fillId="9" borderId="0" xfId="0" applyFont="1" applyFill="1"/>
    <xf numFmtId="165" fontId="11" fillId="9" borderId="0" xfId="0" applyNumberFormat="1" applyFont="1" applyFill="1"/>
    <xf numFmtId="0" fontId="11" fillId="9" borderId="0" xfId="0" applyFont="1" applyFill="1"/>
    <xf numFmtId="165" fontId="12" fillId="9" borderId="0" xfId="0" applyNumberFormat="1" applyFont="1" applyFill="1"/>
    <xf numFmtId="165" fontId="0" fillId="8" borderId="23" xfId="0" applyNumberFormat="1" applyFill="1" applyBorder="1"/>
    <xf numFmtId="0" fontId="3" fillId="0" borderId="24" xfId="0" applyFont="1" applyBorder="1"/>
    <xf numFmtId="0" fontId="3" fillId="0" borderId="25" xfId="0" applyFont="1" applyBorder="1"/>
    <xf numFmtId="164" fontId="5" fillId="8" borderId="23" xfId="0" applyNumberFormat="1" applyFont="1" applyFill="1" applyBorder="1"/>
    <xf numFmtId="165" fontId="5" fillId="8" borderId="23" xfId="0" applyNumberFormat="1" applyFont="1" applyFill="1" applyBorder="1"/>
    <xf numFmtId="0" fontId="3" fillId="0" borderId="2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/>
  <cols>
    <col min="1" max="1" width="44.28515625" customWidth="1"/>
    <col min="2" max="13" width="11.140625" customWidth="1"/>
  </cols>
  <sheetData>
    <row r="1" spans="1:13" ht="22.5" customHeight="1">
      <c r="A1" s="1" t="s">
        <v>0</v>
      </c>
      <c r="B1" s="2">
        <v>43101</v>
      </c>
      <c r="C1" s="3">
        <v>43132</v>
      </c>
      <c r="D1" s="2">
        <v>43160</v>
      </c>
      <c r="E1" s="3">
        <v>43191</v>
      </c>
      <c r="F1" s="2">
        <v>43221</v>
      </c>
      <c r="G1" s="3">
        <v>43252</v>
      </c>
      <c r="H1" s="2">
        <v>43282</v>
      </c>
      <c r="I1" s="3">
        <v>43313</v>
      </c>
      <c r="J1" s="2">
        <v>43344</v>
      </c>
      <c r="K1" s="3">
        <v>43374</v>
      </c>
      <c r="L1" s="2">
        <v>43405</v>
      </c>
      <c r="M1" s="4">
        <v>43435</v>
      </c>
    </row>
    <row r="2" spans="1:13" ht="14.2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1:13" ht="14.25" customHeight="1">
      <c r="A3" s="8" t="s">
        <v>2</v>
      </c>
      <c r="B3" s="9">
        <v>500</v>
      </c>
      <c r="C3" s="9">
        <v>0</v>
      </c>
      <c r="D3" s="9">
        <v>500</v>
      </c>
      <c r="E3" s="9">
        <v>500</v>
      </c>
      <c r="F3" s="9">
        <v>500</v>
      </c>
      <c r="G3" s="9">
        <v>500</v>
      </c>
      <c r="H3" s="9">
        <v>500</v>
      </c>
      <c r="I3" s="9">
        <v>500</v>
      </c>
      <c r="J3" s="9">
        <v>500</v>
      </c>
      <c r="K3" s="9">
        <v>500</v>
      </c>
      <c r="L3" s="9">
        <v>500</v>
      </c>
      <c r="M3" s="10">
        <v>500</v>
      </c>
    </row>
    <row r="4" spans="1:13" ht="14.25" customHeight="1">
      <c r="A4" s="8" t="s">
        <v>3</v>
      </c>
      <c r="B4" s="9"/>
      <c r="C4" s="9">
        <v>600</v>
      </c>
      <c r="D4" s="9"/>
      <c r="E4" s="9"/>
      <c r="F4" s="9"/>
      <c r="G4" s="9"/>
      <c r="H4" s="9"/>
      <c r="I4" s="9"/>
      <c r="J4" s="9"/>
      <c r="K4" s="9"/>
      <c r="L4" s="9"/>
      <c r="M4" s="10"/>
    </row>
    <row r="5" spans="1:13" ht="14.25" customHeight="1">
      <c r="A5" s="11" t="s">
        <v>4</v>
      </c>
      <c r="B5" s="9">
        <v>1000</v>
      </c>
      <c r="C5" s="9">
        <v>2000</v>
      </c>
      <c r="D5" s="9">
        <v>1000</v>
      </c>
      <c r="E5" s="9">
        <v>1000</v>
      </c>
      <c r="F5" s="9">
        <v>1000</v>
      </c>
      <c r="G5" s="9">
        <v>1000</v>
      </c>
      <c r="H5" s="9">
        <v>1000</v>
      </c>
      <c r="I5" s="9">
        <v>1000</v>
      </c>
      <c r="J5" s="9">
        <v>1000</v>
      </c>
      <c r="K5" s="9">
        <v>1000</v>
      </c>
      <c r="L5" s="9">
        <v>1000</v>
      </c>
      <c r="M5" s="10">
        <v>1000</v>
      </c>
    </row>
    <row r="6" spans="1:13" ht="14.25" customHeight="1">
      <c r="A6" s="11" t="s">
        <v>5</v>
      </c>
      <c r="B6" s="9">
        <v>800</v>
      </c>
      <c r="C6" s="9">
        <v>1000</v>
      </c>
      <c r="D6" s="9">
        <v>800</v>
      </c>
      <c r="E6" s="9">
        <v>800</v>
      </c>
      <c r="F6" s="9">
        <v>800</v>
      </c>
      <c r="G6" s="9">
        <v>800</v>
      </c>
      <c r="H6" s="9">
        <v>800</v>
      </c>
      <c r="I6" s="9">
        <v>800</v>
      </c>
      <c r="J6" s="9">
        <v>800</v>
      </c>
      <c r="K6" s="9">
        <v>800</v>
      </c>
      <c r="L6" s="9">
        <v>800</v>
      </c>
      <c r="M6" s="10">
        <v>800</v>
      </c>
    </row>
    <row r="7" spans="1:13" ht="14.25" customHeight="1">
      <c r="A7" s="11" t="s">
        <v>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0"/>
    </row>
    <row r="8" spans="1:13" ht="14.25" customHeight="1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</row>
    <row r="9" spans="1:13" ht="14.25" customHeight="1">
      <c r="A9" s="15" t="s">
        <v>7</v>
      </c>
      <c r="B9" s="16">
        <f t="shared" ref="B9:M9" si="0">SUM(B3:B7)</f>
        <v>2300</v>
      </c>
      <c r="C9" s="16">
        <f t="shared" si="0"/>
        <v>3600</v>
      </c>
      <c r="D9" s="16">
        <f t="shared" si="0"/>
        <v>2300</v>
      </c>
      <c r="E9" s="16">
        <f t="shared" si="0"/>
        <v>2300</v>
      </c>
      <c r="F9" s="16">
        <f t="shared" si="0"/>
        <v>2300</v>
      </c>
      <c r="G9" s="16">
        <f t="shared" si="0"/>
        <v>2300</v>
      </c>
      <c r="H9" s="16">
        <f t="shared" si="0"/>
        <v>2300</v>
      </c>
      <c r="I9" s="16">
        <f t="shared" si="0"/>
        <v>2300</v>
      </c>
      <c r="J9" s="16">
        <f t="shared" si="0"/>
        <v>2300</v>
      </c>
      <c r="K9" s="16">
        <f t="shared" si="0"/>
        <v>2300</v>
      </c>
      <c r="L9" s="16">
        <f t="shared" si="0"/>
        <v>2300</v>
      </c>
      <c r="M9" s="16">
        <f t="shared" si="0"/>
        <v>2300</v>
      </c>
    </row>
    <row r="10" spans="1:13" ht="14.25" customHeight="1">
      <c r="A10" s="17"/>
    </row>
    <row r="11" spans="1:13" ht="14.25" customHeight="1">
      <c r="A11" s="18" t="s">
        <v>8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20"/>
    </row>
    <row r="12" spans="1:13" ht="14.25" customHeight="1">
      <c r="A12" s="21" t="s">
        <v>9</v>
      </c>
      <c r="B12" s="22">
        <v>2000</v>
      </c>
      <c r="C12" s="22">
        <v>2000</v>
      </c>
      <c r="D12" s="22">
        <v>2000</v>
      </c>
      <c r="E12" s="22">
        <v>2000</v>
      </c>
      <c r="F12" s="22">
        <v>2000</v>
      </c>
      <c r="G12" s="22">
        <v>2000</v>
      </c>
      <c r="H12" s="22">
        <v>2000</v>
      </c>
      <c r="I12" s="22">
        <v>2000</v>
      </c>
      <c r="J12" s="22">
        <v>2000</v>
      </c>
      <c r="K12" s="22">
        <v>2000</v>
      </c>
      <c r="L12" s="22">
        <v>2000</v>
      </c>
      <c r="M12" s="22">
        <v>2000</v>
      </c>
    </row>
    <row r="13" spans="1:13" ht="14.25" customHeight="1">
      <c r="A13" s="23" t="s">
        <v>10</v>
      </c>
      <c r="B13" s="24">
        <v>100</v>
      </c>
      <c r="C13" s="24">
        <v>100</v>
      </c>
      <c r="D13" s="24">
        <v>100</v>
      </c>
      <c r="E13" s="24">
        <v>100</v>
      </c>
      <c r="F13" s="24">
        <v>100</v>
      </c>
      <c r="G13" s="24">
        <v>100</v>
      </c>
      <c r="H13" s="24">
        <v>100</v>
      </c>
      <c r="I13" s="24">
        <v>100</v>
      </c>
      <c r="J13" s="24">
        <v>100</v>
      </c>
      <c r="K13" s="24">
        <v>100</v>
      </c>
      <c r="L13" s="24">
        <v>100</v>
      </c>
      <c r="M13" s="25">
        <v>100</v>
      </c>
    </row>
    <row r="14" spans="1:13" ht="14.25" customHeight="1">
      <c r="A14" s="23" t="s">
        <v>11</v>
      </c>
      <c r="B14" s="24">
        <v>200</v>
      </c>
      <c r="C14" s="24">
        <v>100</v>
      </c>
      <c r="D14" s="24">
        <v>200</v>
      </c>
      <c r="E14" s="24">
        <v>200</v>
      </c>
      <c r="F14" s="24">
        <v>200</v>
      </c>
      <c r="G14" s="24">
        <v>200</v>
      </c>
      <c r="H14" s="24">
        <v>200</v>
      </c>
      <c r="I14" s="24">
        <v>200</v>
      </c>
      <c r="J14" s="24">
        <v>200</v>
      </c>
      <c r="K14" s="24">
        <v>200</v>
      </c>
      <c r="L14" s="24">
        <v>200</v>
      </c>
      <c r="M14" s="25">
        <v>200</v>
      </c>
    </row>
    <row r="15" spans="1:13" ht="14.25" customHeight="1">
      <c r="A15" s="23" t="s">
        <v>12</v>
      </c>
      <c r="B15" s="24">
        <v>300</v>
      </c>
      <c r="C15" s="24">
        <v>100</v>
      </c>
      <c r="D15" s="24">
        <v>300</v>
      </c>
      <c r="E15" s="24">
        <v>300</v>
      </c>
      <c r="F15" s="24">
        <v>300</v>
      </c>
      <c r="G15" s="24">
        <v>300</v>
      </c>
      <c r="H15" s="24">
        <v>300</v>
      </c>
      <c r="I15" s="24">
        <v>300</v>
      </c>
      <c r="J15" s="24">
        <v>300</v>
      </c>
      <c r="K15" s="24">
        <v>300</v>
      </c>
      <c r="L15" s="24">
        <v>300</v>
      </c>
      <c r="M15" s="25">
        <v>300</v>
      </c>
    </row>
    <row r="16" spans="1:13" ht="14.25" customHeight="1">
      <c r="A16" s="23" t="s">
        <v>13</v>
      </c>
      <c r="B16" s="24">
        <v>400</v>
      </c>
      <c r="C16" s="24">
        <v>100</v>
      </c>
      <c r="D16" s="24">
        <v>400</v>
      </c>
      <c r="E16" s="24">
        <v>400</v>
      </c>
      <c r="F16" s="24">
        <v>400</v>
      </c>
      <c r="G16" s="24">
        <v>400</v>
      </c>
      <c r="H16" s="24">
        <v>400</v>
      </c>
      <c r="I16" s="24">
        <v>400</v>
      </c>
      <c r="J16" s="24">
        <v>400</v>
      </c>
      <c r="K16" s="24">
        <v>400</v>
      </c>
      <c r="L16" s="24">
        <v>400</v>
      </c>
      <c r="M16" s="25">
        <v>400</v>
      </c>
    </row>
    <row r="17" spans="1:13" ht="14.25" customHeight="1">
      <c r="A17" s="23" t="s">
        <v>14</v>
      </c>
      <c r="B17" s="24">
        <v>500</v>
      </c>
      <c r="C17" s="24">
        <v>100</v>
      </c>
      <c r="D17" s="24">
        <v>500</v>
      </c>
      <c r="E17" s="24">
        <v>500</v>
      </c>
      <c r="F17" s="24">
        <v>500</v>
      </c>
      <c r="G17" s="24">
        <v>500</v>
      </c>
      <c r="H17" s="24">
        <v>500</v>
      </c>
      <c r="I17" s="24">
        <v>500</v>
      </c>
      <c r="J17" s="24">
        <v>500</v>
      </c>
      <c r="K17" s="24">
        <v>500</v>
      </c>
      <c r="L17" s="24">
        <v>500</v>
      </c>
      <c r="M17" s="25">
        <v>500</v>
      </c>
    </row>
    <row r="18" spans="1:13" ht="14.25" customHeight="1">
      <c r="A18" s="23" t="s">
        <v>15</v>
      </c>
      <c r="B18" s="24">
        <v>600</v>
      </c>
      <c r="C18" s="24">
        <v>100</v>
      </c>
      <c r="D18" s="24">
        <v>600</v>
      </c>
      <c r="E18" s="24">
        <v>600</v>
      </c>
      <c r="F18" s="24">
        <v>600</v>
      </c>
      <c r="G18" s="24">
        <v>600</v>
      </c>
      <c r="H18" s="24">
        <v>600</v>
      </c>
      <c r="I18" s="24">
        <v>600</v>
      </c>
      <c r="J18" s="24">
        <v>600</v>
      </c>
      <c r="K18" s="24">
        <v>600</v>
      </c>
      <c r="L18" s="24">
        <v>600</v>
      </c>
      <c r="M18" s="25">
        <v>600</v>
      </c>
    </row>
    <row r="19" spans="1:13" ht="14.25" customHeight="1">
      <c r="A19" s="23" t="s">
        <v>16</v>
      </c>
      <c r="B19" s="24">
        <v>700</v>
      </c>
      <c r="C19" s="24">
        <v>100</v>
      </c>
      <c r="D19" s="24">
        <v>700</v>
      </c>
      <c r="E19" s="24">
        <v>700</v>
      </c>
      <c r="F19" s="24">
        <v>700</v>
      </c>
      <c r="G19" s="24">
        <v>700</v>
      </c>
      <c r="H19" s="24">
        <v>700</v>
      </c>
      <c r="I19" s="24">
        <v>700</v>
      </c>
      <c r="J19" s="24">
        <v>700</v>
      </c>
      <c r="K19" s="24">
        <v>700</v>
      </c>
      <c r="L19" s="24">
        <v>700</v>
      </c>
      <c r="M19" s="25">
        <v>700</v>
      </c>
    </row>
    <row r="20" spans="1:13" ht="14.25" customHeight="1">
      <c r="A20" s="23" t="s">
        <v>17</v>
      </c>
      <c r="B20" s="24">
        <v>800</v>
      </c>
      <c r="C20" s="24">
        <v>100</v>
      </c>
      <c r="D20" s="24">
        <v>800</v>
      </c>
      <c r="E20" s="24">
        <v>800</v>
      </c>
      <c r="F20" s="24">
        <v>800</v>
      </c>
      <c r="G20" s="24">
        <v>800</v>
      </c>
      <c r="H20" s="24">
        <v>800</v>
      </c>
      <c r="I20" s="24">
        <v>800</v>
      </c>
      <c r="J20" s="24">
        <v>800</v>
      </c>
      <c r="K20" s="24">
        <v>800</v>
      </c>
      <c r="L20" s="24">
        <v>800</v>
      </c>
      <c r="M20" s="25">
        <v>800</v>
      </c>
    </row>
    <row r="21" spans="1:13" ht="14.25" customHeight="1">
      <c r="A21" s="23" t="s">
        <v>18</v>
      </c>
      <c r="B21" s="24">
        <v>900</v>
      </c>
      <c r="C21" s="24">
        <v>100</v>
      </c>
      <c r="D21" s="24">
        <v>900</v>
      </c>
      <c r="E21" s="24">
        <v>900</v>
      </c>
      <c r="F21" s="24">
        <v>900</v>
      </c>
      <c r="G21" s="24">
        <v>900</v>
      </c>
      <c r="H21" s="24">
        <v>900</v>
      </c>
      <c r="I21" s="24">
        <v>900</v>
      </c>
      <c r="J21" s="24">
        <v>900</v>
      </c>
      <c r="K21" s="24">
        <v>900</v>
      </c>
      <c r="L21" s="24">
        <v>900</v>
      </c>
      <c r="M21" s="25">
        <v>900</v>
      </c>
    </row>
    <row r="22" spans="1:13" ht="14.25" customHeight="1">
      <c r="A22" s="23" t="s">
        <v>19</v>
      </c>
      <c r="B22" s="24">
        <v>1000</v>
      </c>
      <c r="C22" s="24">
        <v>100</v>
      </c>
      <c r="D22" s="24">
        <v>1000</v>
      </c>
      <c r="E22" s="24">
        <v>1000</v>
      </c>
      <c r="F22" s="24">
        <v>1000</v>
      </c>
      <c r="G22" s="24">
        <v>1000</v>
      </c>
      <c r="H22" s="24">
        <v>1000</v>
      </c>
      <c r="I22" s="24">
        <v>1000</v>
      </c>
      <c r="J22" s="24">
        <v>1000</v>
      </c>
      <c r="K22" s="24">
        <v>1000</v>
      </c>
      <c r="L22" s="24">
        <v>1000</v>
      </c>
      <c r="M22" s="25">
        <v>1000</v>
      </c>
    </row>
    <row r="23" spans="1:13" ht="14.25" customHeight="1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8"/>
    </row>
    <row r="24" spans="1:13" ht="14.25" customHeight="1">
      <c r="A24" s="15" t="s">
        <v>20</v>
      </c>
      <c r="B24" s="16">
        <f t="shared" ref="B24:M24" si="1">SUM(B13:B22)</f>
        <v>5500</v>
      </c>
      <c r="C24" s="16">
        <f t="shared" si="1"/>
        <v>1000</v>
      </c>
      <c r="D24" s="16">
        <f t="shared" si="1"/>
        <v>5500</v>
      </c>
      <c r="E24" s="16">
        <f t="shared" si="1"/>
        <v>5500</v>
      </c>
      <c r="F24" s="16">
        <f t="shared" si="1"/>
        <v>5500</v>
      </c>
      <c r="G24" s="16">
        <f t="shared" si="1"/>
        <v>5500</v>
      </c>
      <c r="H24" s="16">
        <f t="shared" si="1"/>
        <v>5500</v>
      </c>
      <c r="I24" s="16">
        <f t="shared" si="1"/>
        <v>5500</v>
      </c>
      <c r="J24" s="16">
        <f t="shared" si="1"/>
        <v>5500</v>
      </c>
      <c r="K24" s="16">
        <f t="shared" si="1"/>
        <v>5500</v>
      </c>
      <c r="L24" s="16">
        <f t="shared" si="1"/>
        <v>5500</v>
      </c>
      <c r="M24" s="16">
        <f t="shared" si="1"/>
        <v>5500</v>
      </c>
    </row>
    <row r="25" spans="1:13" ht="14.25" customHeight="1">
      <c r="A25" s="17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</row>
    <row r="26" spans="1:13" ht="14.25" customHeight="1">
      <c r="A26" s="17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</row>
    <row r="27" spans="1:13" ht="14.25" customHeight="1">
      <c r="A27" s="30" t="s">
        <v>21</v>
      </c>
      <c r="B27" s="31">
        <f t="shared" ref="B27:M27" si="2">B9-B24</f>
        <v>-3200</v>
      </c>
      <c r="C27" s="31">
        <f t="shared" si="2"/>
        <v>2600</v>
      </c>
      <c r="D27" s="31">
        <f t="shared" si="2"/>
        <v>-3200</v>
      </c>
      <c r="E27" s="31">
        <f t="shared" si="2"/>
        <v>-3200</v>
      </c>
      <c r="F27" s="31">
        <f t="shared" si="2"/>
        <v>-3200</v>
      </c>
      <c r="G27" s="31">
        <f t="shared" si="2"/>
        <v>-3200</v>
      </c>
      <c r="H27" s="31">
        <f t="shared" si="2"/>
        <v>-3200</v>
      </c>
      <c r="I27" s="31">
        <f t="shared" si="2"/>
        <v>-3200</v>
      </c>
      <c r="J27" s="31">
        <f t="shared" si="2"/>
        <v>-3200</v>
      </c>
      <c r="K27" s="31">
        <f t="shared" si="2"/>
        <v>-3200</v>
      </c>
      <c r="L27" s="31">
        <f t="shared" si="2"/>
        <v>-3200</v>
      </c>
      <c r="M27" s="31">
        <f t="shared" si="2"/>
        <v>-3200</v>
      </c>
    </row>
    <row r="28" spans="1:13" ht="14.25" customHeight="1"/>
    <row r="29" spans="1:13" ht="14.25" customHeight="1">
      <c r="A29" t="s">
        <v>22</v>
      </c>
    </row>
    <row r="30" spans="1:13" ht="14.25" customHeight="1"/>
    <row r="31" spans="1:13" ht="14.25" customHeight="1"/>
    <row r="32" spans="1:1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4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Z2"/>
    </sheetView>
  </sheetViews>
  <sheetFormatPr defaultColWidth="14.42578125" defaultRowHeight="15" customHeight="1"/>
  <cols>
    <col min="1" max="1" width="44.28515625" customWidth="1"/>
    <col min="2" max="5" width="11.42578125" customWidth="1"/>
    <col min="6" max="6" width="12.28515625" customWidth="1"/>
    <col min="7" max="7" width="11.42578125" customWidth="1"/>
    <col min="8" max="8" width="12.28515625" customWidth="1"/>
    <col min="9" max="9" width="11.42578125" customWidth="1"/>
    <col min="10" max="10" width="12.28515625" customWidth="1"/>
    <col min="11" max="11" width="11.42578125" customWidth="1"/>
    <col min="12" max="12" width="12.28515625" customWidth="1"/>
    <col min="13" max="13" width="11.42578125" customWidth="1"/>
    <col min="14" max="14" width="12.28515625" customWidth="1"/>
    <col min="15" max="15" width="11.42578125" customWidth="1"/>
    <col min="16" max="16" width="12.28515625" customWidth="1"/>
    <col min="17" max="17" width="11.42578125" customWidth="1"/>
    <col min="18" max="18" width="12.28515625" customWidth="1"/>
    <col min="19" max="19" width="11.42578125" customWidth="1"/>
    <col min="20" max="20" width="12.28515625" customWidth="1"/>
    <col min="21" max="21" width="11.42578125" customWidth="1"/>
    <col min="22" max="22" width="12.28515625" customWidth="1"/>
    <col min="23" max="23" width="11.42578125" customWidth="1"/>
    <col min="24" max="24" width="12.28515625" customWidth="1"/>
    <col min="25" max="25" width="11.42578125" customWidth="1"/>
    <col min="26" max="26" width="12.28515625" customWidth="1"/>
  </cols>
  <sheetData>
    <row r="1" spans="1:26" ht="21.75" customHeight="1">
      <c r="A1" s="32" t="s">
        <v>0</v>
      </c>
      <c r="B1" s="33">
        <v>43101</v>
      </c>
      <c r="C1" s="34" t="s">
        <v>23</v>
      </c>
      <c r="D1" s="35">
        <v>43132</v>
      </c>
      <c r="E1" s="36" t="s">
        <v>23</v>
      </c>
      <c r="F1" s="33">
        <v>43160</v>
      </c>
      <c r="G1" s="34" t="s">
        <v>23</v>
      </c>
      <c r="H1" s="35">
        <v>43191</v>
      </c>
      <c r="I1" s="36" t="s">
        <v>23</v>
      </c>
      <c r="J1" s="33">
        <v>43221</v>
      </c>
      <c r="K1" s="34" t="s">
        <v>23</v>
      </c>
      <c r="L1" s="35">
        <v>43252</v>
      </c>
      <c r="M1" s="36" t="s">
        <v>23</v>
      </c>
      <c r="N1" s="33">
        <v>43282</v>
      </c>
      <c r="O1" s="34" t="s">
        <v>23</v>
      </c>
      <c r="P1" s="35">
        <v>43313</v>
      </c>
      <c r="Q1" s="36" t="s">
        <v>23</v>
      </c>
      <c r="R1" s="33">
        <v>43344</v>
      </c>
      <c r="S1" s="34" t="s">
        <v>23</v>
      </c>
      <c r="T1" s="35">
        <v>43374</v>
      </c>
      <c r="U1" s="36" t="s">
        <v>23</v>
      </c>
      <c r="V1" s="33">
        <v>43405</v>
      </c>
      <c r="W1" s="34" t="s">
        <v>23</v>
      </c>
      <c r="X1" s="35">
        <v>43435</v>
      </c>
      <c r="Y1" s="36" t="s">
        <v>23</v>
      </c>
      <c r="Z1" s="37" t="s">
        <v>24</v>
      </c>
    </row>
    <row r="2" spans="1:26" ht="21" customHeight="1">
      <c r="A2" s="38" t="s">
        <v>25</v>
      </c>
      <c r="B2" s="65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2"/>
    </row>
    <row r="3" spans="1:26" ht="14.25" customHeight="1">
      <c r="A3" s="39" t="s">
        <v>26</v>
      </c>
      <c r="B3" s="63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2"/>
    </row>
    <row r="4" spans="1:26" ht="14.25" customHeight="1">
      <c r="A4" s="40" t="s">
        <v>27</v>
      </c>
      <c r="B4" s="41">
        <v>100</v>
      </c>
      <c r="C4" s="42" t="s">
        <v>28</v>
      </c>
      <c r="D4" s="41">
        <v>90</v>
      </c>
      <c r="E4" s="42" t="s">
        <v>28</v>
      </c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3">
        <f t="shared" ref="Z4:Z6" si="0">SUM(B4,D4,F4,H4,J4,L4,N4,P4,R4,T4,V4,X4)</f>
        <v>190</v>
      </c>
    </row>
    <row r="5" spans="1:26" ht="14.25" customHeight="1">
      <c r="A5" s="40" t="s">
        <v>29</v>
      </c>
      <c r="B5" s="41">
        <v>50</v>
      </c>
      <c r="C5" s="42" t="s">
        <v>30</v>
      </c>
      <c r="D5" s="41">
        <v>50</v>
      </c>
      <c r="E5" s="42" t="s">
        <v>30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3">
        <f t="shared" si="0"/>
        <v>100</v>
      </c>
    </row>
    <row r="6" spans="1:26" ht="14.25" customHeight="1">
      <c r="A6" s="40" t="s">
        <v>31</v>
      </c>
      <c r="B6" s="41">
        <v>30</v>
      </c>
      <c r="C6" s="42" t="s">
        <v>32</v>
      </c>
      <c r="D6" s="41">
        <v>25</v>
      </c>
      <c r="E6" s="42" t="s">
        <v>32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3">
        <f t="shared" si="0"/>
        <v>55</v>
      </c>
    </row>
    <row r="7" spans="1:26" ht="14.25" customHeight="1">
      <c r="A7" s="39" t="s">
        <v>33</v>
      </c>
      <c r="B7" s="64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2"/>
    </row>
    <row r="8" spans="1:26" ht="14.25" customHeight="1">
      <c r="A8" s="40" t="s">
        <v>34</v>
      </c>
      <c r="B8" s="41">
        <v>100</v>
      </c>
      <c r="C8" s="42" t="s">
        <v>28</v>
      </c>
      <c r="D8" s="41">
        <v>90</v>
      </c>
      <c r="E8" s="42" t="s">
        <v>28</v>
      </c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3">
        <f t="shared" ref="Z8:Z10" si="1">SUM(B8,D8,F8,H8,J8,L8,N8,P8,R8,T8,V8,X8)</f>
        <v>190</v>
      </c>
    </row>
    <row r="9" spans="1:26" ht="14.25" customHeight="1">
      <c r="A9" s="40" t="s">
        <v>35</v>
      </c>
      <c r="B9" s="41">
        <v>50</v>
      </c>
      <c r="C9" s="42" t="s">
        <v>30</v>
      </c>
      <c r="D9" s="41">
        <v>50</v>
      </c>
      <c r="E9" s="42" t="s">
        <v>30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3">
        <f t="shared" si="1"/>
        <v>100</v>
      </c>
    </row>
    <row r="10" spans="1:26" ht="14.25" customHeight="1">
      <c r="A10" s="40" t="s">
        <v>36</v>
      </c>
      <c r="B10" s="41">
        <v>30</v>
      </c>
      <c r="C10" s="42" t="s">
        <v>32</v>
      </c>
      <c r="D10" s="41">
        <v>25</v>
      </c>
      <c r="E10" s="42" t="s">
        <v>32</v>
      </c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3">
        <f t="shared" si="1"/>
        <v>55</v>
      </c>
    </row>
    <row r="11" spans="1:26" ht="14.25" customHeight="1">
      <c r="A11" s="39" t="s">
        <v>37</v>
      </c>
      <c r="B11" s="64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2"/>
    </row>
    <row r="12" spans="1:26" ht="14.25" customHeight="1">
      <c r="A12" s="40" t="s">
        <v>38</v>
      </c>
      <c r="B12" s="41">
        <v>100</v>
      </c>
      <c r="C12" s="42" t="s">
        <v>28</v>
      </c>
      <c r="D12" s="41">
        <v>90</v>
      </c>
      <c r="E12" s="42" t="s">
        <v>28</v>
      </c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3">
        <f t="shared" ref="Z12:Z14" si="2">SUM(B12,D12,F12,H12,J12,L12,N12,P12,R12,T12,V12,X12)</f>
        <v>190</v>
      </c>
    </row>
    <row r="13" spans="1:26" ht="14.25" customHeight="1">
      <c r="A13" s="40" t="s">
        <v>39</v>
      </c>
      <c r="B13" s="41">
        <v>50</v>
      </c>
      <c r="C13" s="42" t="s">
        <v>30</v>
      </c>
      <c r="D13" s="41">
        <v>50</v>
      </c>
      <c r="E13" s="42" t="s">
        <v>30</v>
      </c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3">
        <f t="shared" si="2"/>
        <v>100</v>
      </c>
    </row>
    <row r="14" spans="1:26" ht="14.25" customHeight="1">
      <c r="A14" s="40" t="s">
        <v>40</v>
      </c>
      <c r="B14" s="41">
        <v>30</v>
      </c>
      <c r="C14" s="42" t="s">
        <v>32</v>
      </c>
      <c r="D14" s="41">
        <v>25</v>
      </c>
      <c r="E14" s="42" t="s">
        <v>32</v>
      </c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3">
        <f t="shared" si="2"/>
        <v>55</v>
      </c>
    </row>
    <row r="15" spans="1:26" ht="14.25" customHeight="1">
      <c r="A15" s="39" t="s">
        <v>41</v>
      </c>
      <c r="B15" s="64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2"/>
    </row>
    <row r="16" spans="1:26" ht="14.25" customHeight="1">
      <c r="A16" s="40" t="s">
        <v>42</v>
      </c>
      <c r="B16" s="41">
        <v>100</v>
      </c>
      <c r="C16" s="42" t="s">
        <v>28</v>
      </c>
      <c r="D16" s="41">
        <v>90</v>
      </c>
      <c r="E16" s="42" t="s">
        <v>28</v>
      </c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3">
        <f t="shared" ref="Z16:Z18" si="3">SUM(B16,D16,F16,H16,J16,L16,N16,P16,R16,T16,V16,X16)</f>
        <v>190</v>
      </c>
    </row>
    <row r="17" spans="1:26" ht="14.25" customHeight="1">
      <c r="A17" s="40" t="s">
        <v>43</v>
      </c>
      <c r="B17" s="41">
        <v>50</v>
      </c>
      <c r="C17" s="42" t="s">
        <v>30</v>
      </c>
      <c r="D17" s="41">
        <v>50</v>
      </c>
      <c r="E17" s="42" t="s">
        <v>30</v>
      </c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3">
        <f t="shared" si="3"/>
        <v>100</v>
      </c>
    </row>
    <row r="18" spans="1:26" ht="14.25" customHeight="1">
      <c r="A18" s="40" t="s">
        <v>44</v>
      </c>
      <c r="B18" s="41">
        <v>30</v>
      </c>
      <c r="C18" s="42" t="s">
        <v>32</v>
      </c>
      <c r="D18" s="41">
        <v>25</v>
      </c>
      <c r="E18" s="42" t="s">
        <v>32</v>
      </c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3">
        <f t="shared" si="3"/>
        <v>55</v>
      </c>
    </row>
    <row r="19" spans="1:26" ht="14.25" customHeight="1">
      <c r="A19" s="39" t="s">
        <v>45</v>
      </c>
      <c r="B19" s="60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2"/>
    </row>
    <row r="20" spans="1:26" ht="14.25" customHeight="1">
      <c r="A20" s="40" t="s">
        <v>46</v>
      </c>
      <c r="B20" s="41">
        <v>100</v>
      </c>
      <c r="C20" s="42" t="s">
        <v>28</v>
      </c>
      <c r="D20" s="41">
        <v>90</v>
      </c>
      <c r="E20" s="42" t="s">
        <v>28</v>
      </c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3">
        <f t="shared" ref="Z20:Z22" si="4">SUM(B20,D20,F20,H20,J20,L20,N20,P20,R20,T20,V20,X20)</f>
        <v>190</v>
      </c>
    </row>
    <row r="21" spans="1:26" ht="14.25" customHeight="1">
      <c r="A21" s="40" t="s">
        <v>47</v>
      </c>
      <c r="B21" s="41">
        <v>50</v>
      </c>
      <c r="C21" s="42" t="s">
        <v>30</v>
      </c>
      <c r="D21" s="41">
        <v>50</v>
      </c>
      <c r="E21" s="42" t="s">
        <v>30</v>
      </c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3">
        <f t="shared" si="4"/>
        <v>100</v>
      </c>
    </row>
    <row r="22" spans="1:26" ht="14.25" customHeight="1">
      <c r="A22" s="40" t="s">
        <v>48</v>
      </c>
      <c r="B22" s="41">
        <v>30</v>
      </c>
      <c r="C22" s="42" t="s">
        <v>32</v>
      </c>
      <c r="D22" s="41">
        <v>25</v>
      </c>
      <c r="E22" s="42" t="s">
        <v>32</v>
      </c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3">
        <f t="shared" si="4"/>
        <v>55</v>
      </c>
    </row>
    <row r="23" spans="1:26" ht="14.25" customHeight="1">
      <c r="A23" s="39" t="s">
        <v>49</v>
      </c>
      <c r="B23" s="60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2"/>
    </row>
    <row r="24" spans="1:26" ht="14.25" customHeight="1">
      <c r="A24" s="40" t="s">
        <v>50</v>
      </c>
      <c r="B24" s="41">
        <v>100</v>
      </c>
      <c r="C24" s="42" t="s">
        <v>28</v>
      </c>
      <c r="D24" s="41">
        <v>90</v>
      </c>
      <c r="E24" s="42" t="s">
        <v>28</v>
      </c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3">
        <f t="shared" ref="Z24:Z26" si="5">SUM(B24,D24,F24,H24,J24,L24,N24,P24,R24,T24,V24,X24)</f>
        <v>190</v>
      </c>
    </row>
    <row r="25" spans="1:26" ht="14.25" customHeight="1">
      <c r="A25" s="40" t="s">
        <v>51</v>
      </c>
      <c r="B25" s="41">
        <v>50</v>
      </c>
      <c r="C25" s="42" t="s">
        <v>30</v>
      </c>
      <c r="D25" s="41">
        <v>50</v>
      </c>
      <c r="E25" s="42" t="s">
        <v>30</v>
      </c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3">
        <f t="shared" si="5"/>
        <v>100</v>
      </c>
    </row>
    <row r="26" spans="1:26" ht="14.25" customHeight="1">
      <c r="A26" s="40" t="s">
        <v>52</v>
      </c>
      <c r="B26" s="41">
        <v>30</v>
      </c>
      <c r="C26" s="42" t="s">
        <v>32</v>
      </c>
      <c r="D26" s="41">
        <v>25</v>
      </c>
      <c r="E26" s="42" t="s">
        <v>32</v>
      </c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3">
        <f t="shared" si="5"/>
        <v>55</v>
      </c>
    </row>
    <row r="27" spans="1:26" ht="14.25" customHeight="1">
      <c r="A27" s="39" t="s">
        <v>53</v>
      </c>
      <c r="B27" s="60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2"/>
    </row>
    <row r="28" spans="1:26" ht="14.25" customHeight="1">
      <c r="A28" s="40" t="s">
        <v>54</v>
      </c>
      <c r="B28" s="41">
        <v>100</v>
      </c>
      <c r="C28" s="42" t="s">
        <v>28</v>
      </c>
      <c r="D28" s="41">
        <v>90</v>
      </c>
      <c r="E28" s="42" t="s">
        <v>28</v>
      </c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3">
        <f t="shared" ref="Z28:Z30" si="6">SUM(B28,D28,F28,H28,J28,L28,N28,P28,R28,T28,V28,X28)</f>
        <v>190</v>
      </c>
    </row>
    <row r="29" spans="1:26" ht="14.25" customHeight="1">
      <c r="A29" s="40" t="s">
        <v>55</v>
      </c>
      <c r="B29" s="41">
        <v>50</v>
      </c>
      <c r="C29" s="42" t="s">
        <v>30</v>
      </c>
      <c r="D29" s="41">
        <v>50</v>
      </c>
      <c r="E29" s="42" t="s">
        <v>30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3">
        <f t="shared" si="6"/>
        <v>100</v>
      </c>
    </row>
    <row r="30" spans="1:26" ht="14.25" customHeight="1">
      <c r="A30" s="40" t="s">
        <v>56</v>
      </c>
      <c r="B30" s="41">
        <v>30</v>
      </c>
      <c r="C30" s="42" t="s">
        <v>32</v>
      </c>
      <c r="D30" s="41">
        <v>25</v>
      </c>
      <c r="E30" s="42" t="s">
        <v>32</v>
      </c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3">
        <f t="shared" si="6"/>
        <v>55</v>
      </c>
    </row>
    <row r="31" spans="1:26" ht="14.25" customHeight="1">
      <c r="A31" s="39" t="s">
        <v>57</v>
      </c>
      <c r="B31" s="60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2"/>
    </row>
    <row r="32" spans="1:26" ht="14.25" customHeight="1">
      <c r="A32" s="45" t="s">
        <v>58</v>
      </c>
      <c r="B32" s="41">
        <v>100</v>
      </c>
      <c r="C32" s="42" t="s">
        <v>28</v>
      </c>
      <c r="D32" s="41">
        <v>90</v>
      </c>
      <c r="E32" s="42" t="s">
        <v>28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3">
        <f t="shared" ref="Z32:Z34" si="7">SUM(B32,D32,F32,H32,J32,L32,N32,P32,R32,T32,V32,X32)</f>
        <v>190</v>
      </c>
    </row>
    <row r="33" spans="1:26" ht="14.25" customHeight="1">
      <c r="A33" s="45" t="s">
        <v>59</v>
      </c>
      <c r="B33" s="41">
        <v>50</v>
      </c>
      <c r="C33" s="42" t="s">
        <v>30</v>
      </c>
      <c r="D33" s="41">
        <v>50</v>
      </c>
      <c r="E33" s="42" t="s">
        <v>30</v>
      </c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3">
        <f t="shared" si="7"/>
        <v>100</v>
      </c>
    </row>
    <row r="34" spans="1:26" ht="14.25" customHeight="1">
      <c r="A34" s="45" t="s">
        <v>60</v>
      </c>
      <c r="B34" s="41">
        <v>30</v>
      </c>
      <c r="C34" s="42" t="s">
        <v>32</v>
      </c>
      <c r="D34" s="41">
        <v>25</v>
      </c>
      <c r="E34" s="42" t="s">
        <v>32</v>
      </c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3">
        <f t="shared" si="7"/>
        <v>55</v>
      </c>
    </row>
    <row r="35" spans="1:26" ht="14.25" customHeight="1">
      <c r="A35" s="39" t="s">
        <v>61</v>
      </c>
      <c r="B35" s="60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2"/>
    </row>
    <row r="36" spans="1:26" ht="14.25" customHeight="1">
      <c r="A36" s="45" t="s">
        <v>62</v>
      </c>
      <c r="B36" s="41">
        <v>100</v>
      </c>
      <c r="C36" s="42" t="s">
        <v>28</v>
      </c>
      <c r="D36" s="41">
        <v>90</v>
      </c>
      <c r="E36" s="42" t="s">
        <v>28</v>
      </c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3">
        <f t="shared" ref="Z36:Z39" si="8">SUM(B36,D36,F36,H36,J36,L36,N36,P36,R36,T36,V36,X36)</f>
        <v>190</v>
      </c>
    </row>
    <row r="37" spans="1:26" ht="14.25" customHeight="1">
      <c r="A37" s="45" t="s">
        <v>63</v>
      </c>
      <c r="B37" s="41">
        <v>50</v>
      </c>
      <c r="C37" s="42" t="s">
        <v>64</v>
      </c>
      <c r="D37" s="41">
        <v>50</v>
      </c>
      <c r="E37" s="42" t="s">
        <v>30</v>
      </c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3">
        <f t="shared" si="8"/>
        <v>100</v>
      </c>
    </row>
    <row r="38" spans="1:26" ht="14.25" customHeight="1">
      <c r="A38" s="45" t="s">
        <v>63</v>
      </c>
      <c r="B38" s="41">
        <v>50</v>
      </c>
      <c r="C38" s="42" t="s">
        <v>64</v>
      </c>
      <c r="D38" s="41">
        <v>50</v>
      </c>
      <c r="E38" s="42" t="s">
        <v>30</v>
      </c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3">
        <f t="shared" si="8"/>
        <v>100</v>
      </c>
    </row>
    <row r="39" spans="1:26" ht="14.25" customHeight="1">
      <c r="A39" s="45" t="s">
        <v>65</v>
      </c>
      <c r="B39" s="41">
        <v>30</v>
      </c>
      <c r="C39" s="42" t="s">
        <v>32</v>
      </c>
      <c r="D39" s="41">
        <v>25</v>
      </c>
      <c r="E39" s="42" t="s">
        <v>32</v>
      </c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3">
        <f t="shared" si="8"/>
        <v>55</v>
      </c>
    </row>
    <row r="40" spans="1:26" ht="14.25" customHeight="1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3"/>
    </row>
    <row r="41" spans="1:26" ht="14.25" customHeight="1">
      <c r="A41" s="15" t="s">
        <v>20</v>
      </c>
      <c r="B41" s="47">
        <f>SUM(B3:B39)</f>
        <v>1670</v>
      </c>
      <c r="C41" s="47"/>
      <c r="D41" s="47">
        <f>SUM(D3:D39)</f>
        <v>1535</v>
      </c>
      <c r="E41" s="47"/>
      <c r="F41" s="47">
        <f>SUM(F3:F39)</f>
        <v>0</v>
      </c>
      <c r="G41" s="47"/>
      <c r="H41" s="47">
        <f>SUM(H3:H39)</f>
        <v>0</v>
      </c>
      <c r="I41" s="47"/>
      <c r="J41" s="47">
        <f>SUM(J3:J39)</f>
        <v>0</v>
      </c>
      <c r="K41" s="47"/>
      <c r="L41" s="47">
        <f>SUM(L3:L39)</f>
        <v>0</v>
      </c>
      <c r="M41" s="47"/>
      <c r="N41" s="47">
        <f>SUM(N3:N39)</f>
        <v>0</v>
      </c>
      <c r="O41" s="47"/>
      <c r="P41" s="47">
        <f>SUM(P3:P39)</f>
        <v>0</v>
      </c>
      <c r="Q41" s="47"/>
      <c r="R41" s="47">
        <f>SUM(R3:R39)</f>
        <v>0</v>
      </c>
      <c r="S41" s="47"/>
      <c r="T41" s="47">
        <f>SUM(T3:T39)</f>
        <v>0</v>
      </c>
      <c r="U41" s="47"/>
      <c r="V41" s="47">
        <f>SUM(V3:V39)</f>
        <v>0</v>
      </c>
      <c r="W41" s="47"/>
      <c r="X41" s="47">
        <f>SUM(X3:X39)</f>
        <v>0</v>
      </c>
      <c r="Y41" s="47"/>
      <c r="Z41" s="47">
        <f>SUM(Z4,Z5,Z6,Z8,Z9,Z10,Z12,Z13,Z14,Z16,Z17,Z18,Z20,Z21,Z22,Z24,Z25,Z26,Z28,Z29,Z30,Z32,Z33,Z34,Z36,Z37,Z38,Z39,Z40)</f>
        <v>3205</v>
      </c>
    </row>
    <row r="42" spans="1:26" ht="14.25" customHeight="1">
      <c r="A42" s="17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9"/>
    </row>
    <row r="43" spans="1:26" ht="14.25" customHeight="1">
      <c r="A43" s="50" t="s">
        <v>66</v>
      </c>
      <c r="B43" s="51">
        <v>2000</v>
      </c>
      <c r="C43" s="51"/>
      <c r="D43" s="51">
        <v>2000</v>
      </c>
      <c r="E43" s="51"/>
      <c r="F43" s="51">
        <v>2000</v>
      </c>
      <c r="G43" s="51"/>
      <c r="H43" s="51">
        <v>2000</v>
      </c>
      <c r="I43" s="51"/>
      <c r="J43" s="51">
        <v>2000</v>
      </c>
      <c r="K43" s="51"/>
      <c r="L43" s="51">
        <v>2000</v>
      </c>
      <c r="M43" s="51"/>
      <c r="N43" s="51">
        <v>2000</v>
      </c>
      <c r="O43" s="51"/>
      <c r="P43" s="51">
        <v>2000</v>
      </c>
      <c r="Q43" s="51"/>
      <c r="R43" s="51">
        <v>2000</v>
      </c>
      <c r="S43" s="51"/>
      <c r="T43" s="51">
        <v>2000</v>
      </c>
      <c r="U43" s="51"/>
      <c r="V43" s="51">
        <v>2000</v>
      </c>
      <c r="W43" s="51"/>
      <c r="X43" s="51">
        <v>2000</v>
      </c>
      <c r="Y43" s="52"/>
      <c r="Z43" s="52"/>
    </row>
    <row r="44" spans="1:26" ht="14.25" customHeight="1">
      <c r="A44" s="17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53"/>
      <c r="Z44" s="49"/>
    </row>
    <row r="45" spans="1:26" ht="14.25" customHeight="1">
      <c r="A45" s="30" t="s">
        <v>67</v>
      </c>
      <c r="B45" s="54">
        <f>SUM(B43-B41)</f>
        <v>330</v>
      </c>
      <c r="C45" s="54"/>
      <c r="D45" s="54">
        <f>SUM(D43-D41)</f>
        <v>465</v>
      </c>
      <c r="E45" s="54"/>
      <c r="F45" s="54">
        <f>SUM(F43-F41)</f>
        <v>2000</v>
      </c>
      <c r="G45" s="54"/>
      <c r="H45" s="54">
        <f>SUM(H43-H41)</f>
        <v>2000</v>
      </c>
      <c r="I45" s="54"/>
      <c r="J45" s="54">
        <f>SUM(J43-J41)</f>
        <v>2000</v>
      </c>
      <c r="K45" s="54"/>
      <c r="L45" s="54">
        <f>SUM(L43-L41)</f>
        <v>2000</v>
      </c>
      <c r="M45" s="54"/>
      <c r="N45" s="54">
        <f>SUM(N43-N41)</f>
        <v>2000</v>
      </c>
      <c r="O45" s="54"/>
      <c r="P45" s="54">
        <f>SUM(P43-P41)</f>
        <v>2000</v>
      </c>
      <c r="Q45" s="54"/>
      <c r="R45" s="54">
        <f>SUM(R43-R41)</f>
        <v>2000</v>
      </c>
      <c r="S45" s="54"/>
      <c r="T45" s="54">
        <f>SUM(T43-T41)</f>
        <v>2000</v>
      </c>
      <c r="U45" s="54"/>
      <c r="V45" s="54">
        <f>SUM(V43-V41)</f>
        <v>2000</v>
      </c>
      <c r="W45" s="54"/>
      <c r="X45" s="54">
        <f>SUM(X43-X41)</f>
        <v>2000</v>
      </c>
      <c r="Y45" s="55"/>
      <c r="Z45" s="55"/>
    </row>
    <row r="46" spans="1:26" ht="14.25" customHeight="1"/>
    <row r="47" spans="1:26" ht="14.25" customHeight="1">
      <c r="A47" s="56" t="s">
        <v>68</v>
      </c>
      <c r="B47" s="57">
        <f>SUM(B37:B38)</f>
        <v>100</v>
      </c>
      <c r="C47" s="58"/>
      <c r="D47" s="57">
        <f>SUM(D37:D38)</f>
        <v>100</v>
      </c>
      <c r="E47" s="58"/>
      <c r="F47" s="57">
        <f>SUM(F37:F38)</f>
        <v>0</v>
      </c>
      <c r="G47" s="58"/>
      <c r="H47" s="57">
        <f>SUM(H37:H38)</f>
        <v>0</v>
      </c>
      <c r="I47" s="58"/>
      <c r="J47" s="57">
        <f>SUM(J37:J38)</f>
        <v>0</v>
      </c>
      <c r="K47" s="58"/>
      <c r="L47" s="57">
        <f>SUM(L37:L38)</f>
        <v>0</v>
      </c>
      <c r="M47" s="58"/>
      <c r="N47" s="57">
        <f>SUM(N37:N38)</f>
        <v>0</v>
      </c>
      <c r="O47" s="58"/>
      <c r="P47" s="57">
        <f>SUM(P37:P38)</f>
        <v>0</v>
      </c>
      <c r="Q47" s="58"/>
      <c r="R47" s="57">
        <f>SUM(R37:R38)</f>
        <v>0</v>
      </c>
      <c r="S47" s="58"/>
      <c r="T47" s="57">
        <f>SUM(T37:T38)</f>
        <v>0</v>
      </c>
      <c r="U47" s="58"/>
      <c r="V47" s="57">
        <f>SUM(V37:V38)</f>
        <v>0</v>
      </c>
      <c r="W47" s="58"/>
      <c r="X47" s="57">
        <f>SUM(X37:X38)</f>
        <v>0</v>
      </c>
      <c r="Y47" s="58"/>
      <c r="Z47" s="59">
        <f>SUM(B47:Y47)</f>
        <v>200</v>
      </c>
    </row>
    <row r="48" spans="1:26" ht="14.25" customHeight="1"/>
    <row r="49" spans="1:1" ht="14.25" customHeight="1">
      <c r="A49" t="s">
        <v>69</v>
      </c>
    </row>
    <row r="50" spans="1:1" ht="14.25" customHeight="1"/>
    <row r="51" spans="1:1" ht="14.25" customHeight="1"/>
    <row r="52" spans="1:1" ht="14.25" customHeight="1"/>
    <row r="53" spans="1:1" ht="14.25" customHeight="1"/>
    <row r="54" spans="1:1" ht="14.25" customHeight="1"/>
    <row r="55" spans="1:1" ht="14.25" customHeight="1"/>
    <row r="56" spans="1:1" ht="14.25" customHeight="1"/>
    <row r="57" spans="1:1" ht="14.25" customHeight="1"/>
    <row r="58" spans="1:1" ht="14.25" customHeight="1"/>
    <row r="59" spans="1:1" ht="14.25" customHeight="1"/>
    <row r="60" spans="1:1" ht="14.25" customHeight="1"/>
    <row r="61" spans="1:1" ht="14.25" customHeight="1"/>
    <row r="62" spans="1:1" ht="14.25" customHeight="1"/>
    <row r="63" spans="1:1" ht="14.25" customHeight="1"/>
    <row r="64" spans="1:1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</sheetData>
  <mergeCells count="10">
    <mergeCell ref="B2:Z2"/>
    <mergeCell ref="B11:Z11"/>
    <mergeCell ref="B15:Z15"/>
    <mergeCell ref="B19:Z19"/>
    <mergeCell ref="B23:Z23"/>
    <mergeCell ref="B27:Z27"/>
    <mergeCell ref="B31:Z31"/>
    <mergeCell ref="B35:Z35"/>
    <mergeCell ref="B3:Z3"/>
    <mergeCell ref="B7:Z7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Pessoa Jurídica</vt:lpstr>
      <vt:lpstr>Pessoa Física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Augusto Robl Ferreira</cp:lastModifiedBy>
  <dcterms:modified xsi:type="dcterms:W3CDTF">2026-04-13T14:09:03Z</dcterms:modified>
</cp:coreProperties>
</file>